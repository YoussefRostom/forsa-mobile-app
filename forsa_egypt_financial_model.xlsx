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3-Year P&amp;L" sheetId="2" state="visible" r:id="rId4"/>
    <sheet name="Unit Economics" sheetId="3" state="visible" r:id="rId5"/>
    <sheet name="90-Day Budge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<sst xmlns="http://schemas.openxmlformats.org/spreadsheetml/2006/main" count="222" uniqueCount="211">
  <si>
    <t xml:space="preserve">FORSA EGYPT — KEY ASSUMPTIONS</t>
  </si>
  <si>
    <t xml:space="preserve">All figures in EGP unless noted  |  Blue = input, Black = formula</t>
  </si>
  <si>
    <t xml:space="preserve">Assumption</t>
  </si>
  <si>
    <t xml:space="preserve">Value</t>
  </si>
  <si>
    <t xml:space="preserve">Notes</t>
  </si>
  <si>
    <t xml:space="preserve">  MARKET — CAIRO LAUNCH</t>
  </si>
  <si>
    <t xml:space="preserve">Total football academies in Cairo</t>
  </si>
  <si>
    <t xml:space="preserve">Conservative estimate; actual ~400–600</t>
  </si>
  <si>
    <t xml:space="preserve">Total sports clinics in Cairo</t>
  </si>
  <si>
    <t xml:space="preserve">MOH-licensed sports medicine clinics</t>
  </si>
  <si>
    <t xml:space="preserve">Target academy penetration — Yr1</t>
  </si>
  <si>
    <t xml:space="preserve">20% = 100 academies</t>
  </si>
  <si>
    <t xml:space="preserve">Target clinic penetration — Yr1</t>
  </si>
  <si>
    <t xml:space="preserve">25% = 30 clinics</t>
  </si>
  <si>
    <t xml:space="preserve">Parents registered — Yr1</t>
  </si>
  <si>
    <t xml:space="preserve">Conservative; word-of-mouth + referral</t>
  </si>
  <si>
    <t xml:space="preserve">Players registered — Yr1</t>
  </si>
  <si>
    <t xml:space="preserve">Including parent-managed child profiles</t>
  </si>
  <si>
    <t xml:space="preserve">  PRICING</t>
  </si>
  <si>
    <t xml:space="preserve">Avg academy trial session fee (EGP)</t>
  </si>
  <si>
    <t xml:space="preserve">Range: EGP 150–400 across Cairo</t>
  </si>
  <si>
    <t xml:space="preserve">Avg clinic appointment fee (EGP)</t>
  </si>
  <si>
    <t xml:space="preserve">Range: EGP 300–600</t>
  </si>
  <si>
    <t xml:space="preserve">Commission rate — bookings</t>
  </si>
  <si>
    <t xml:space="preserve">15% of each completed booking</t>
  </si>
  <si>
    <t xml:space="preserve">Academy Pro subscription (EGP/mo)</t>
  </si>
  <si>
    <t xml:space="preserve">Mid-tier; Elite = EGP 599</t>
  </si>
  <si>
    <t xml:space="preserve">Clinic Pro subscription (EGP/mo)</t>
  </si>
  <si>
    <t xml:space="preserve">Same tier structure as academies</t>
  </si>
  <si>
    <t xml:space="preserve">Player premium (EGP/mo)</t>
  </si>
  <si>
    <t xml:space="preserve">Verified badge + highlight hosting</t>
  </si>
  <si>
    <t xml:space="preserve">Parent premium (EGP/mo)</t>
  </si>
  <si>
    <t xml:space="preserve">Booking credits + priority access</t>
  </si>
  <si>
    <t xml:space="preserve">Agent subscription (EGP/mo)</t>
  </si>
  <si>
    <t xml:space="preserve">Player contacts + CRM tools</t>
  </si>
  <si>
    <t xml:space="preserve">  BOOKING VOLUME</t>
  </si>
  <si>
    <t xml:space="preserve">Avg bookings per academy/month — Yr1</t>
  </si>
  <si>
    <t xml:space="preserve">Low at launch; increases with liquidity</t>
  </si>
  <si>
    <t xml:space="preserve">Avg bookings per academy/month — Yr2</t>
  </si>
  <si>
    <t xml:space="preserve">After referral flywheel</t>
  </si>
  <si>
    <t xml:space="preserve">Avg bookings per academy/month — Yr3</t>
  </si>
  <si>
    <t xml:space="preserve">Mature market</t>
  </si>
  <si>
    <t xml:space="preserve">Avg bookings per clinic/month — Yr1</t>
  </si>
  <si>
    <t xml:space="preserve">Clinics have more regular patients</t>
  </si>
  <si>
    <t xml:space="preserve">Avg bookings per clinic/month — Yr2</t>
  </si>
  <si>
    <t xml:space="preserve">After word-of-mouth</t>
  </si>
  <si>
    <t xml:space="preserve">Avg bookings per clinic/month — Yr3</t>
  </si>
  <si>
    <t xml:space="preserve">Mature</t>
  </si>
  <si>
    <t xml:space="preserve">  SUBSCRIPTION TAKE-RATE</t>
  </si>
  <si>
    <t xml:space="preserve">% academies on paid plan — Yr1</t>
  </si>
  <si>
    <t xml:space="preserve">30% upgrade after free tier</t>
  </si>
  <si>
    <t xml:space="preserve">% academies on paid plan — Yr2</t>
  </si>
  <si>
    <t xml:space="preserve">50% as value becomes clear</t>
  </si>
  <si>
    <t xml:space="preserve">% academies on paid plan — Yr3</t>
  </si>
  <si>
    <t xml:space="preserve">65% at maturity</t>
  </si>
  <si>
    <t xml:space="preserve">% clinics on paid plan — Yr1</t>
  </si>
  <si>
    <t xml:space="preserve">Higher than academies — more ROI-driven</t>
  </si>
  <si>
    <t xml:space="preserve">% clinics on paid plan — Yr2</t>
  </si>
  <si>
    <t xml:space="preserve">% clinics on paid plan — Yr3</t>
  </si>
  <si>
    <t xml:space="preserve">  MONTHLY OPERATING COSTS (EGP)</t>
  </si>
  <si>
    <t xml:space="preserve">Hosting (AWS S3 + backend + Redis)</t>
  </si>
  <si>
    <t xml:space="preserve">Scales with volume from Yr2</t>
  </si>
  <si>
    <t xml:space="preserve">Payment gateway (Paymob) — base fee</t>
  </si>
  <si>
    <t xml:space="preserve">Plus ~1.5% per transaction</t>
  </si>
  <si>
    <t xml:space="preserve">SMS OTP (Unifonic / Twilio)</t>
  </si>
  <si>
    <t xml:space="preserve">~EGP 0.40 per OTP; est. 2,000/mo</t>
  </si>
  <si>
    <t xml:space="preserve">WhatsApp Business API</t>
  </si>
  <si>
    <t xml:space="preserve">Fixed + per-message fees</t>
  </si>
  <si>
    <t xml:space="preserve">Marketing — Google Ads</t>
  </si>
  <si>
    <t xml:space="preserve">Search ads in Arabic + English</t>
  </si>
  <si>
    <t xml:space="preserve">Marketing — Social content</t>
  </si>
  <si>
    <t xml:space="preserve">Content creator + video production</t>
  </si>
  <si>
    <t xml:space="preserve">Events / sponsorship</t>
  </si>
  <si>
    <t xml:space="preserve">Tournament sponsorships</t>
  </si>
  <si>
    <t xml:space="preserve">Referral program credits</t>
  </si>
  <si>
    <t xml:space="preserve">EGP 100 per referred user × 30/mo</t>
  </si>
  <si>
    <t xml:space="preserve">Salaries (founder ops + part-time)</t>
  </si>
  <si>
    <t xml:space="preserve">2 part-time ops staff</t>
  </si>
  <si>
    <t xml:space="preserve">Misc / legal / contingency</t>
  </si>
  <si>
    <t xml:space="preserve">10% buffer</t>
  </si>
  <si>
    <t xml:space="preserve">  GROWTH ASSUMPTIONS</t>
  </si>
  <si>
    <t xml:space="preserve">City expansion in Year 2</t>
  </si>
  <si>
    <t xml:space="preserve">Alexandria — similar market to Cairo</t>
  </si>
  <si>
    <t xml:space="preserve">Academy count growth Yr2 (multiplier)</t>
  </si>
  <si>
    <t xml:space="preserve">2× Cairo + Alexandria</t>
  </si>
  <si>
    <t xml:space="preserve">Academy count growth Yr3 (multiplier)</t>
  </si>
  <si>
    <t xml:space="preserve">3 cities + deeper Cairo</t>
  </si>
  <si>
    <t xml:space="preserve">Cost growth Yr2 vs Yr1</t>
  </si>
  <si>
    <t xml:space="preserve">60% increase with Alexandria</t>
  </si>
  <si>
    <t xml:space="preserve">Cost growth Yr3 vs Yr1</t>
  </si>
  <si>
    <t xml:space="preserve">150% increase with 3 cities</t>
  </si>
  <si>
    <t xml:space="preserve">FORSA EGYPT — 3-YEAR PROFIT &amp; LOSS PROJECTION</t>
  </si>
  <si>
    <t xml:space="preserve">EGP (Egyptian Pounds)  |  Conservative scenario</t>
  </si>
  <si>
    <t xml:space="preserve">Year 1 (2026)</t>
  </si>
  <si>
    <t xml:space="preserve">Year 2 (2027)</t>
  </si>
  <si>
    <t xml:space="preserve">Year 3 (2028)</t>
  </si>
  <si>
    <t xml:space="preserve">3-Year Total</t>
  </si>
  <si>
    <t xml:space="preserve">  REVENUE</t>
  </si>
  <si>
    <t xml:space="preserve">  Booking Commission — Academies</t>
  </si>
  <si>
    <t xml:space="preserve">  Booking Commission — Clinics</t>
  </si>
  <si>
    <t xml:space="preserve">  Academy Subscriptions</t>
  </si>
  <si>
    <t xml:space="preserve">  Clinic Subscriptions</t>
  </si>
  <si>
    <t xml:space="preserve">  Player Premium Subscriptions</t>
  </si>
  <si>
    <t xml:space="preserve">  Parent Premium Subscriptions</t>
  </si>
  <si>
    <t xml:space="preserve">  Agent Subscriptions</t>
  </si>
  <si>
    <t xml:space="preserve">TOTAL REVENUE</t>
  </si>
  <si>
    <t xml:space="preserve">  COST OF REVENUE</t>
  </si>
  <si>
    <t xml:space="preserve">  Payment gateway fees (1.5% of bookings)</t>
  </si>
  <si>
    <t xml:space="preserve">  SMS / OTP costs</t>
  </si>
  <si>
    <t xml:space="preserve">GROSS PROFIT</t>
  </si>
  <si>
    <t xml:space="preserve">  OPERATING EXPENSES</t>
  </si>
  <si>
    <t xml:space="preserve">  Hosting &amp; Infrastructure</t>
  </si>
  <si>
    <t xml:space="preserve">  WhatsApp Business API</t>
  </si>
  <si>
    <t xml:space="preserve">  Marketing — Google Ads</t>
  </si>
  <si>
    <t xml:space="preserve">  Marketing — Social/Content</t>
  </si>
  <si>
    <t xml:space="preserve">  Events &amp; Sponsorship</t>
  </si>
  <si>
    <t xml:space="preserve">  Referral Program Credits</t>
  </si>
  <si>
    <t xml:space="preserve">  Salaries &amp; Operations</t>
  </si>
  <si>
    <t xml:space="preserve">  Misc / Legal / Contingency</t>
  </si>
  <si>
    <t xml:space="preserve">TOTAL OPEX</t>
  </si>
  <si>
    <t xml:space="preserve">EBITDA</t>
  </si>
  <si>
    <t xml:space="preserve">EBITDA Margin</t>
  </si>
  <si>
    <t xml:space="preserve">3-Year Avg</t>
  </si>
  <si>
    <t xml:space="preserve">FORSA EGYPT — UNIT ECONOMICS &amp; BREAK-EVEN</t>
  </si>
  <si>
    <t xml:space="preserve">All in EGP  |  Cairo Year 1 baseline</t>
  </si>
  <si>
    <t xml:space="preserve">Metric</t>
  </si>
  <si>
    <t xml:space="preserve">How It's Calculated</t>
  </si>
  <si>
    <t xml:space="preserve">  PER BOOKING ECONOMICS</t>
  </si>
  <si>
    <t xml:space="preserve">Avg academy booking value (EGP)</t>
  </si>
  <si>
    <t xml:space="preserve">From Assumptions sheet</t>
  </si>
  <si>
    <t xml:space="preserve">Avg clinic booking value (EGP)</t>
  </si>
  <si>
    <t xml:space="preserve">Commission rate</t>
  </si>
  <si>
    <t xml:space="preserve">15% of booking value</t>
  </si>
  <si>
    <t xml:space="preserve">Revenue per academy booking (EGP)</t>
  </si>
  <si>
    <t xml:space="preserve">Forsa's share per transaction</t>
  </si>
  <si>
    <t xml:space="preserve">Revenue per clinic booking (EGP)</t>
  </si>
  <si>
    <t xml:space="preserve">Payment gateway cost per booking (1.5%)</t>
  </si>
  <si>
    <t xml:space="preserve">Paymob fee deducted</t>
  </si>
  <si>
    <t xml:space="preserve">Net margin per academy booking (EGP)</t>
  </si>
  <si>
    <t xml:space="preserve">After gateway fees</t>
  </si>
  <si>
    <t xml:space="preserve">Net margin per clinic booking (EGP)</t>
  </si>
  <si>
    <t xml:space="preserve">  CUSTOMER ACQUISITION COST (CAC)</t>
  </si>
  <si>
    <t xml:space="preserve">Blended CAC — Academy (EGP)</t>
  </si>
  <si>
    <t xml:space="preserve">Door-to-door onboarding labor + photography</t>
  </si>
  <si>
    <t xml:space="preserve">Blended CAC — Parent (EGP)</t>
  </si>
  <si>
    <t xml:space="preserve">WhatsApp + referral + ads blended</t>
  </si>
  <si>
    <t xml:space="preserve">Bookings to recover academy CAC</t>
  </si>
  <si>
    <t xml:space="preserve"># of bookings to break even on CAC</t>
  </si>
  <si>
    <t xml:space="preserve">Bookings to recover parent CAC</t>
  </si>
  <si>
    <t xml:space="preserve">Assuming parent books 50% of sessions</t>
  </si>
  <si>
    <t xml:space="preserve">  LIFETIME VALUE (LTV) — YEAR 1</t>
  </si>
  <si>
    <t xml:space="preserve">Academy — avg bookings/month</t>
  </si>
  <si>
    <t xml:space="preserve">From Assumptions</t>
  </si>
  <si>
    <t xml:space="preserve">Academy — avg subscription revenue/month (EGP)</t>
  </si>
  <si>
    <t xml:space="preserve">30% take-rate × EGP 299</t>
  </si>
  <si>
    <t xml:space="preserve">Academy LTV — monthly revenue to Forsa (EGP)</t>
  </si>
  <si>
    <t xml:space="preserve">Commission + subscription</t>
  </si>
  <si>
    <t xml:space="preserve">Academy LTV — 12-month (EGP)</t>
  </si>
  <si>
    <t xml:space="preserve">Annual LTV per academy</t>
  </si>
  <si>
    <t xml:space="preserve">Academy LTV/CAC ratio</t>
  </si>
  <si>
    <t xml:space="preserve">Target: &gt;3×</t>
  </si>
  <si>
    <t xml:space="preserve">Parent — avg bookings/month</t>
  </si>
  <si>
    <t xml:space="preserve">1 booking every 2 months on average</t>
  </si>
  <si>
    <t xml:space="preserve">Parent — subscription revenue/month (EGP)</t>
  </si>
  <si>
    <t xml:space="preserve">10% take-rate on EGP 29 plan</t>
  </si>
  <si>
    <t xml:space="preserve">Parent LTV — monthly (EGP)</t>
  </si>
  <si>
    <t xml:space="preserve">Half the booking via parent account</t>
  </si>
  <si>
    <t xml:space="preserve">Parent LTV — 12-month (EGP)</t>
  </si>
  <si>
    <t xml:space="preserve">Annual LTV per parent</t>
  </si>
  <si>
    <t xml:space="preserve">Parent LTV/CAC ratio</t>
  </si>
  <si>
    <t xml:space="preserve">Target: &gt;5×</t>
  </si>
  <si>
    <t xml:space="preserve">  MONTHLY BREAK-EVEN ANALYSIS</t>
  </si>
  <si>
    <t xml:space="preserve">Fixed monthly costs (EGP)</t>
  </si>
  <si>
    <t xml:space="preserve">Sum of all monthly cost assumptions</t>
  </si>
  <si>
    <t xml:space="preserve">Variable cost per booking (payment gateway %)</t>
  </si>
  <si>
    <t xml:space="preserve">Per academy booking</t>
  </si>
  <si>
    <t xml:space="preserve">Avg revenue per booking (net)</t>
  </si>
  <si>
    <t xml:space="preserve">Commission minus gateway fee</t>
  </si>
  <si>
    <t xml:space="preserve">Break-even bookings per month</t>
  </si>
  <si>
    <t xml:space="preserve">Fixed costs ÷ net margin per booking</t>
  </si>
  <si>
    <t xml:space="preserve">Break-even at avg 3 bookings/academy: academies needed</t>
  </si>
  <si>
    <t xml:space="preserve">Academies needed to break even</t>
  </si>
  <si>
    <t xml:space="preserve">Break-even month (est.)</t>
  </si>
  <si>
    <t xml:space="preserve">12</t>
  </si>
  <si>
    <t xml:space="preserve">Estimated month of first break-even</t>
  </si>
  <si>
    <t xml:space="preserve">FORSA EGYPT — 90-DAY LAUNCH BUDGET</t>
  </si>
  <si>
    <t xml:space="preserve">All in EGP  |  Cairo launch only</t>
  </si>
  <si>
    <t xml:space="preserve">Item</t>
  </si>
  <si>
    <t xml:space="preserve">One-Time (EGP)</t>
  </si>
  <si>
    <t xml:space="preserve">Monthly (EGP)</t>
  </si>
  <si>
    <t xml:space="preserve">3-Month Total (EGP)</t>
  </si>
  <si>
    <t xml:space="preserve">Category</t>
  </si>
  <si>
    <t xml:space="preserve">Academy onboarding (photography + ops)</t>
  </si>
  <si>
    <t xml:space="preserve">Operations</t>
  </si>
  <si>
    <t xml:space="preserve">Legal — ToS, Privacy Policy translation</t>
  </si>
  <si>
    <t xml:space="preserve">Legal</t>
  </si>
  <si>
    <t xml:space="preserve">Paymob payment gateway setup fee</t>
  </si>
  <si>
    <t xml:space="preserve">Tech</t>
  </si>
  <si>
    <t xml:space="preserve">WhatsApp Business API setup</t>
  </si>
  <si>
    <t xml:space="preserve">SMS / OTP (Unifonic)</t>
  </si>
  <si>
    <t xml:space="preserve">Google Search Ads</t>
  </si>
  <si>
    <t xml:space="preserve">Marketing</t>
  </si>
  <si>
    <t xml:space="preserve">Instagram / TikTok content creation</t>
  </si>
  <si>
    <t xml:space="preserve">Youth tournament sponsorship</t>
  </si>
  <si>
    <t xml:space="preserve">Referral program credits (parents)</t>
  </si>
  <si>
    <t xml:space="preserve">Salaries — ops + part-time staff</t>
  </si>
  <si>
    <t xml:space="preserve">People</t>
  </si>
  <si>
    <t xml:space="preserve">Misc / contingency (10%)</t>
  </si>
  <si>
    <t xml:space="preserve">Misc</t>
  </si>
  <si>
    <t xml:space="preserve">TOTAL LAUNCH BUDGET</t>
  </si>
  <si>
    <t xml:space="preserve">Note: 3-Month Total = One-Time + (Monthly × 3). USD equivalent at EGP 50/USD: see total ÷ 50.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</si>
</sst>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%;\(#,##0.0%\);\-"/>
    <numFmt numFmtId="166" formatCode="#,##0.0\x"/>
    <numFmt numFmtId="167" formatCode="#,##0;\(#,##0\);\-"/>
    <numFmt numFmtId="168" formatCode="#,##0;\(#,##0\);\-"/>
    <numFmt numFmtId="169" formatCode="#,##0.0%;\(#,##0.0%\);\−"/>
    <numFmt numFmtId="170" formatCode="#,##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b val="true"/>
      <sz val="10"/>
      <color rgb="FF1A7F4B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10"/>
      <color rgb="FF999999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99999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A7F4B"/>
        <bgColor rgb="FF008080"/>
      </patternFill>
    </fill>
    <fill>
      <patternFill patternType="solid">
        <fgColor rgb="FFE8F5EE"/>
        <bgColor rgb="FFF4F4F4"/>
      </patternFill>
    </fill>
    <fill>
      <patternFill patternType="solid">
        <fgColor rgb="FFF4F4F4"/>
        <bgColor rgb="FFE8F5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1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1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1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1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1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A7F4B"/>
      <rgbColor rgb="FFCCCCCC"/>
      <rgbColor rgb="FF808080"/>
      <rgbColor rgb="FF9999FF"/>
      <rgbColor rgb="FF993366"/>
      <rgbColor rgb="FFF4F4F4"/>
      <rgbColor rgb="FFE8F5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20"/>
    <col collapsed="false" customWidth="true" hidden="false" outlineLevel="0" max="3" min="3" style="1" width="40"/>
  </cols>
  <sheetData>
    <row r="1" customFormat="false" ht="27.75" hidden="false" customHeight="true" outlineLevel="0" collapsed="false">
      <c r="A1" s="2" t="s">
        <v>0</v>
      </c>
      <c r="B1" s="2"/>
      <c r="C1" s="2"/>
    </row>
    <row r="2" customFormat="false" ht="18" hidden="false" customHeight="true" outlineLevel="0" collapsed="false">
      <c r="A2" s="3" t="s">
        <v>1</v>
      </c>
      <c r="B2" s="3"/>
      <c r="C2" s="3"/>
    </row>
    <row r="4" customFormat="false" ht="19.5" hidden="false" customHeight="true" outlineLevel="0" collapsed="false">
      <c r="A4" s="4" t="s">
        <v>2</v>
      </c>
      <c r="B4" s="5" t="s">
        <v>3</v>
      </c>
      <c r="C4" s="4" t="s">
        <v>4</v>
      </c>
    </row>
    <row r="5" customFormat="false" ht="18" hidden="false" customHeight="true" outlineLevel="0" collapsed="false">
      <c r="A5" s="6" t="s">
        <v>5</v>
      </c>
      <c r="B5" s="6"/>
      <c r="C5" s="6"/>
    </row>
    <row r="6" customFormat="false" ht="15.75" hidden="false" customHeight="true" outlineLevel="0" collapsed="false">
      <c r="A6" s="7" t="s">
        <v>6</v>
      </c>
      <c r="B6" s="8" t="n">
        <v>500</v>
      </c>
      <c r="C6" s="7" t="s">
        <v>7</v>
      </c>
    </row>
    <row r="7" customFormat="false" ht="15.75" hidden="false" customHeight="true" outlineLevel="0" collapsed="false">
      <c r="A7" s="7" t="s">
        <v>8</v>
      </c>
      <c r="B7" s="8" t="n">
        <v>120</v>
      </c>
      <c r="C7" s="7" t="s">
        <v>9</v>
      </c>
    </row>
    <row r="8" customFormat="false" ht="15.75" hidden="false" customHeight="true" outlineLevel="0" collapsed="false">
      <c r="A8" s="7" t="s">
        <v>10</v>
      </c>
      <c r="B8" s="9" t="n">
        <v>0.2</v>
      </c>
      <c r="C8" s="7" t="s">
        <v>11</v>
      </c>
    </row>
    <row r="9" customFormat="false" ht="15.75" hidden="false" customHeight="true" outlineLevel="0" collapsed="false">
      <c r="A9" s="7" t="s">
        <v>12</v>
      </c>
      <c r="B9" s="9" t="n">
        <v>0.25</v>
      </c>
      <c r="C9" s="7" t="s">
        <v>13</v>
      </c>
    </row>
    <row r="10" customFormat="false" ht="15.75" hidden="false" customHeight="true" outlineLevel="0" collapsed="false">
      <c r="A10" s="7" t="s">
        <v>14</v>
      </c>
      <c r="B10" s="8" t="n">
        <v>800</v>
      </c>
      <c r="C10" s="7" t="s">
        <v>15</v>
      </c>
    </row>
    <row r="11" customFormat="false" ht="15.75" hidden="false" customHeight="true" outlineLevel="0" collapsed="false">
      <c r="A11" s="7" t="s">
        <v>16</v>
      </c>
      <c r="B11" s="8" t="n">
        <v>500</v>
      </c>
      <c r="C11" s="7" t="s">
        <v>17</v>
      </c>
    </row>
    <row r="12" customFormat="false" ht="15" hidden="false" customHeight="true" outlineLevel="0" collapsed="false">
      <c r="A12" s="10"/>
      <c r="B12" s="10"/>
      <c r="C12" s="10"/>
    </row>
    <row r="13" customFormat="false" ht="18" hidden="false" customHeight="true" outlineLevel="0" collapsed="false">
      <c r="A13" s="6" t="s">
        <v>18</v>
      </c>
      <c r="B13" s="6"/>
      <c r="C13" s="6"/>
    </row>
    <row r="14" customFormat="false" ht="15.75" hidden="false" customHeight="true" outlineLevel="0" collapsed="false">
      <c r="A14" s="7" t="s">
        <v>19</v>
      </c>
      <c r="B14" s="8" t="n">
        <v>250</v>
      </c>
      <c r="C14" s="7" t="s">
        <v>20</v>
      </c>
    </row>
    <row r="15" customFormat="false" ht="15.75" hidden="false" customHeight="true" outlineLevel="0" collapsed="false">
      <c r="A15" s="7" t="s">
        <v>21</v>
      </c>
      <c r="B15" s="8" t="n">
        <v>400</v>
      </c>
      <c r="C15" s="7" t="s">
        <v>22</v>
      </c>
    </row>
    <row r="16" customFormat="false" ht="15.75" hidden="false" customHeight="true" outlineLevel="0" collapsed="false">
      <c r="A16" s="7" t="s">
        <v>23</v>
      </c>
      <c r="B16" s="9" t="n">
        <v>0.15</v>
      </c>
      <c r="C16" s="7" t="s">
        <v>24</v>
      </c>
    </row>
    <row r="17" customFormat="false" ht="15.75" hidden="false" customHeight="true" outlineLevel="0" collapsed="false">
      <c r="A17" s="7" t="s">
        <v>25</v>
      </c>
      <c r="B17" s="8" t="n">
        <v>299</v>
      </c>
      <c r="C17" s="7" t="s">
        <v>26</v>
      </c>
    </row>
    <row r="18" customFormat="false" ht="15.75" hidden="false" customHeight="true" outlineLevel="0" collapsed="false">
      <c r="A18" s="7" t="s">
        <v>27</v>
      </c>
      <c r="B18" s="8" t="n">
        <v>299</v>
      </c>
      <c r="C18" s="7" t="s">
        <v>28</v>
      </c>
    </row>
    <row r="19" customFormat="false" ht="15.75" hidden="false" customHeight="true" outlineLevel="0" collapsed="false">
      <c r="A19" s="7" t="s">
        <v>29</v>
      </c>
      <c r="B19" s="8" t="n">
        <v>49</v>
      </c>
      <c r="C19" s="7" t="s">
        <v>30</v>
      </c>
    </row>
    <row r="20" customFormat="false" ht="15.75" hidden="false" customHeight="true" outlineLevel="0" collapsed="false">
      <c r="A20" s="7" t="s">
        <v>31</v>
      </c>
      <c r="B20" s="8" t="n">
        <v>29</v>
      </c>
      <c r="C20" s="7" t="s">
        <v>32</v>
      </c>
    </row>
    <row r="21" customFormat="false" ht="15.75" hidden="false" customHeight="true" outlineLevel="0" collapsed="false">
      <c r="A21" s="7" t="s">
        <v>33</v>
      </c>
      <c r="B21" s="8" t="n">
        <v>149</v>
      </c>
      <c r="C21" s="7" t="s">
        <v>34</v>
      </c>
    </row>
    <row r="22" customFormat="false" ht="15" hidden="false" customHeight="true" outlineLevel="0" collapsed="false">
      <c r="A22" s="10"/>
      <c r="B22" s="10"/>
      <c r="C22" s="10"/>
    </row>
    <row r="23" customFormat="false" ht="18" hidden="false" customHeight="true" outlineLevel="0" collapsed="false">
      <c r="A23" s="6" t="s">
        <v>35</v>
      </c>
      <c r="B23" s="6"/>
      <c r="C23" s="6"/>
    </row>
    <row r="24" customFormat="false" ht="15.75" hidden="false" customHeight="true" outlineLevel="0" collapsed="false">
      <c r="A24" s="7" t="s">
        <v>36</v>
      </c>
      <c r="B24" s="8" t="n">
        <v>3</v>
      </c>
      <c r="C24" s="7" t="s">
        <v>37</v>
      </c>
    </row>
    <row r="25" customFormat="false" ht="15.75" hidden="false" customHeight="true" outlineLevel="0" collapsed="false">
      <c r="A25" s="7" t="s">
        <v>38</v>
      </c>
      <c r="B25" s="8" t="n">
        <v>8</v>
      </c>
      <c r="C25" s="7" t="s">
        <v>39</v>
      </c>
    </row>
    <row r="26" customFormat="false" ht="15.75" hidden="false" customHeight="true" outlineLevel="0" collapsed="false">
      <c r="A26" s="7" t="s">
        <v>40</v>
      </c>
      <c r="B26" s="8" t="n">
        <v>15</v>
      </c>
      <c r="C26" s="7" t="s">
        <v>41</v>
      </c>
    </row>
    <row r="27" customFormat="false" ht="15.75" hidden="false" customHeight="true" outlineLevel="0" collapsed="false">
      <c r="A27" s="7" t="s">
        <v>42</v>
      </c>
      <c r="B27" s="8" t="n">
        <v>4</v>
      </c>
      <c r="C27" s="7" t="s">
        <v>43</v>
      </c>
    </row>
    <row r="28" customFormat="false" ht="15.75" hidden="false" customHeight="true" outlineLevel="0" collapsed="false">
      <c r="A28" s="7" t="s">
        <v>44</v>
      </c>
      <c r="B28" s="8" t="n">
        <v>10</v>
      </c>
      <c r="C28" s="7" t="s">
        <v>45</v>
      </c>
    </row>
    <row r="29" customFormat="false" ht="15.75" hidden="false" customHeight="true" outlineLevel="0" collapsed="false">
      <c r="A29" s="7" t="s">
        <v>46</v>
      </c>
      <c r="B29" s="8" t="n">
        <v>18</v>
      </c>
      <c r="C29" s="7" t="s">
        <v>47</v>
      </c>
    </row>
    <row r="30" customFormat="false" ht="15" hidden="false" customHeight="true" outlineLevel="0" collapsed="false">
      <c r="A30" s="10"/>
      <c r="B30" s="10"/>
      <c r="C30" s="10"/>
    </row>
    <row r="31" customFormat="false" ht="18" hidden="false" customHeight="true" outlineLevel="0" collapsed="false">
      <c r="A31" s="6" t="s">
        <v>48</v>
      </c>
      <c r="B31" s="6"/>
      <c r="C31" s="6"/>
    </row>
    <row r="32" customFormat="false" ht="15.75" hidden="false" customHeight="true" outlineLevel="0" collapsed="false">
      <c r="A32" s="7" t="s">
        <v>49</v>
      </c>
      <c r="B32" s="9" t="n">
        <v>0.3</v>
      </c>
      <c r="C32" s="7" t="s">
        <v>50</v>
      </c>
    </row>
    <row r="33" customFormat="false" ht="15.75" hidden="false" customHeight="true" outlineLevel="0" collapsed="false">
      <c r="A33" s="7" t="s">
        <v>51</v>
      </c>
      <c r="B33" s="9" t="n">
        <v>0.5</v>
      </c>
      <c r="C33" s="7" t="s">
        <v>52</v>
      </c>
    </row>
    <row r="34" customFormat="false" ht="15.75" hidden="false" customHeight="true" outlineLevel="0" collapsed="false">
      <c r="A34" s="7" t="s">
        <v>53</v>
      </c>
      <c r="B34" s="9" t="n">
        <v>0.65</v>
      </c>
      <c r="C34" s="7" t="s">
        <v>54</v>
      </c>
    </row>
    <row r="35" customFormat="false" ht="15.75" hidden="false" customHeight="true" outlineLevel="0" collapsed="false">
      <c r="A35" s="7" t="s">
        <v>55</v>
      </c>
      <c r="B35" s="9" t="n">
        <v>0.35</v>
      </c>
      <c r="C35" s="7" t="s">
        <v>56</v>
      </c>
    </row>
    <row r="36" customFormat="false" ht="15.75" hidden="false" customHeight="true" outlineLevel="0" collapsed="false">
      <c r="A36" s="7" t="s">
        <v>57</v>
      </c>
      <c r="B36" s="9" t="n">
        <v>0.55</v>
      </c>
      <c r="C36" s="7"/>
    </row>
    <row r="37" customFormat="false" ht="15.75" hidden="false" customHeight="true" outlineLevel="0" collapsed="false">
      <c r="A37" s="7" t="s">
        <v>58</v>
      </c>
      <c r="B37" s="9" t="n">
        <v>0.7</v>
      </c>
      <c r="C37" s="7"/>
    </row>
    <row r="38" customFormat="false" ht="15" hidden="false" customHeight="true" outlineLevel="0" collapsed="false">
      <c r="A38" s="10"/>
      <c r="B38" s="10"/>
      <c r="C38" s="10"/>
    </row>
    <row r="39" customFormat="false" ht="18" hidden="false" customHeight="true" outlineLevel="0" collapsed="false">
      <c r="A39" s="6" t="s">
        <v>59</v>
      </c>
      <c r="B39" s="6"/>
      <c r="C39" s="6"/>
    </row>
    <row r="40" customFormat="false" ht="15.75" hidden="false" customHeight="true" outlineLevel="0" collapsed="false">
      <c r="A40" s="7" t="s">
        <v>60</v>
      </c>
      <c r="B40" s="8" t="n">
        <v>1500</v>
      </c>
      <c r="C40" s="7" t="s">
        <v>61</v>
      </c>
    </row>
    <row r="41" customFormat="false" ht="15.75" hidden="false" customHeight="true" outlineLevel="0" collapsed="false">
      <c r="A41" s="7" t="s">
        <v>62</v>
      </c>
      <c r="B41" s="8" t="n">
        <v>500</v>
      </c>
      <c r="C41" s="7" t="s">
        <v>63</v>
      </c>
    </row>
    <row r="42" customFormat="false" ht="15.75" hidden="false" customHeight="true" outlineLevel="0" collapsed="false">
      <c r="A42" s="7" t="s">
        <v>64</v>
      </c>
      <c r="B42" s="8" t="n">
        <v>800</v>
      </c>
      <c r="C42" s="7" t="s">
        <v>65</v>
      </c>
    </row>
    <row r="43" customFormat="false" ht="15.75" hidden="false" customHeight="true" outlineLevel="0" collapsed="false">
      <c r="A43" s="7" t="s">
        <v>66</v>
      </c>
      <c r="B43" s="8" t="n">
        <v>500</v>
      </c>
      <c r="C43" s="7" t="s">
        <v>67</v>
      </c>
    </row>
    <row r="44" customFormat="false" ht="15.75" hidden="false" customHeight="true" outlineLevel="0" collapsed="false">
      <c r="A44" s="7" t="s">
        <v>68</v>
      </c>
      <c r="B44" s="8" t="n">
        <v>3000</v>
      </c>
      <c r="C44" s="7" t="s">
        <v>69</v>
      </c>
    </row>
    <row r="45" customFormat="false" ht="15.75" hidden="false" customHeight="true" outlineLevel="0" collapsed="false">
      <c r="A45" s="7" t="s">
        <v>70</v>
      </c>
      <c r="B45" s="8" t="n">
        <v>4000</v>
      </c>
      <c r="C45" s="7" t="s">
        <v>71</v>
      </c>
    </row>
    <row r="46" customFormat="false" ht="15.75" hidden="false" customHeight="true" outlineLevel="0" collapsed="false">
      <c r="A46" s="7" t="s">
        <v>72</v>
      </c>
      <c r="B46" s="8" t="n">
        <v>7500</v>
      </c>
      <c r="C46" s="7" t="s">
        <v>73</v>
      </c>
    </row>
    <row r="47" customFormat="false" ht="15.75" hidden="false" customHeight="true" outlineLevel="0" collapsed="false">
      <c r="A47" s="7" t="s">
        <v>74</v>
      </c>
      <c r="B47" s="8" t="n">
        <v>3000</v>
      </c>
      <c r="C47" s="7" t="s">
        <v>75</v>
      </c>
    </row>
    <row r="48" customFormat="false" ht="15.75" hidden="false" customHeight="true" outlineLevel="0" collapsed="false">
      <c r="A48" s="7" t="s">
        <v>76</v>
      </c>
      <c r="B48" s="8" t="n">
        <v>15000</v>
      </c>
      <c r="C48" s="7" t="s">
        <v>77</v>
      </c>
    </row>
    <row r="49" customFormat="false" ht="15.75" hidden="false" customHeight="true" outlineLevel="0" collapsed="false">
      <c r="A49" s="7" t="s">
        <v>78</v>
      </c>
      <c r="B49" s="8" t="n">
        <v>2500</v>
      </c>
      <c r="C49" s="7" t="s">
        <v>79</v>
      </c>
    </row>
    <row r="50" customFormat="false" ht="15" hidden="false" customHeight="true" outlineLevel="0" collapsed="false">
      <c r="A50" s="10"/>
      <c r="B50" s="10"/>
      <c r="C50" s="10"/>
    </row>
    <row r="51" customFormat="false" ht="18" hidden="false" customHeight="true" outlineLevel="0" collapsed="false">
      <c r="A51" s="6" t="s">
        <v>80</v>
      </c>
      <c r="B51" s="6"/>
      <c r="C51" s="6"/>
    </row>
    <row r="52" customFormat="false" ht="15.75" hidden="false" customHeight="true" outlineLevel="0" collapsed="false">
      <c r="A52" s="7" t="s">
        <v>81</v>
      </c>
      <c r="B52" s="8" t="n">
        <v>1</v>
      </c>
      <c r="C52" s="7" t="s">
        <v>82</v>
      </c>
    </row>
    <row r="53" customFormat="false" ht="15.75" hidden="false" customHeight="true" outlineLevel="0" collapsed="false">
      <c r="A53" s="7" t="s">
        <v>83</v>
      </c>
      <c r="B53" s="11" t="n">
        <v>2</v>
      </c>
      <c r="C53" s="7" t="s">
        <v>84</v>
      </c>
    </row>
    <row r="54" customFormat="false" ht="15.75" hidden="false" customHeight="true" outlineLevel="0" collapsed="false">
      <c r="A54" s="7" t="s">
        <v>85</v>
      </c>
      <c r="B54" s="11" t="n">
        <v>3.5</v>
      </c>
      <c r="C54" s="7" t="s">
        <v>86</v>
      </c>
    </row>
    <row r="55" customFormat="false" ht="15.75" hidden="false" customHeight="true" outlineLevel="0" collapsed="false">
      <c r="A55" s="7" t="s">
        <v>87</v>
      </c>
      <c r="B55" s="11" t="n">
        <v>1.6</v>
      </c>
      <c r="C55" s="7" t="s">
        <v>88</v>
      </c>
    </row>
    <row r="56" customFormat="false" ht="15.75" hidden="false" customHeight="true" outlineLevel="0" collapsed="false">
      <c r="A56" s="7" t="s">
        <v>89</v>
      </c>
      <c r="B56" s="11" t="n">
        <v>2.5</v>
      </c>
      <c r="C56" s="7" t="s">
        <v>90</v>
      </c>
    </row>
  </sheetData>
  <mergeCells count="8">
    <mergeCell ref="A1:C1"/>
    <mergeCell ref="A2:C2"/>
    <mergeCell ref="A5:C5"/>
    <mergeCell ref="A13:C13"/>
    <mergeCell ref="A23:C23"/>
    <mergeCell ref="A31:C31"/>
    <mergeCell ref="A39:C39"/>
    <mergeCell ref="A51:C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8"/>
    <col collapsed="false" customWidth="true" hidden="false" outlineLevel="0" max="4" min="2" style="1" width="18"/>
    <col collapsed="false" customWidth="true" hidden="false" outlineLevel="0" max="5" min="5" style="1" width="22"/>
  </cols>
  <sheetData>
    <row r="1" customFormat="false" ht="27.75" hidden="false" customHeight="true" outlineLevel="0" collapsed="false">
      <c r="A1" s="2" t="s">
        <v>91</v>
      </c>
      <c r="B1" s="2"/>
      <c r="C1" s="2"/>
      <c r="D1" s="2"/>
      <c r="E1" s="2"/>
    </row>
    <row r="2" customFormat="false" ht="18" hidden="false" customHeight="true" outlineLevel="0" collapsed="false">
      <c r="A2" s="3" t="s">
        <v>92</v>
      </c>
      <c r="B2" s="3"/>
      <c r="C2" s="3"/>
      <c r="D2" s="3"/>
      <c r="E2" s="3"/>
    </row>
    <row r="4" customFormat="false" ht="19.5" hidden="false" customHeight="true" outlineLevel="0" collapsed="false">
      <c r="A4" s="4"/>
      <c r="B4" s="5" t="s">
        <v>93</v>
      </c>
      <c r="C4" s="5" t="s">
        <v>94</v>
      </c>
      <c r="D4" s="5" t="s">
        <v>95</v>
      </c>
      <c r="E4" s="5" t="s">
        <v>96</v>
      </c>
    </row>
    <row r="5" customFormat="false" ht="15.75" hidden="false" customHeight="true" outlineLevel="0" collapsed="false">
      <c r="A5" s="6" t="s">
        <v>97</v>
      </c>
      <c r="B5" s="6"/>
      <c r="C5" s="6"/>
      <c r="D5" s="6"/>
      <c r="E5" s="6"/>
    </row>
    <row r="6" customFormat="false" ht="15.75" hidden="false" customHeight="true" outlineLevel="0" collapsed="false">
      <c r="A6" s="7" t="s">
        <v>98</v>
      </c>
      <c r="B6" s="12" t="n">
        <f aca="false">Assumptions!B6*Assumptions!B8*Assumptions!B24*Assumptions!B14*Assumptions!B16</f>
        <v>11250</v>
      </c>
      <c r="C6" s="12" t="n">
        <f aca="false">Assumptions!B6*Assumptions!B53*Assumptions!B8*Assumptions!B25*Assumptions!B14*Assumptions!B16</f>
        <v>60000</v>
      </c>
      <c r="D6" s="12" t="n">
        <f aca="false">Assumptions!B6*Assumptions!B54*Assumptions!B8*Assumptions!B26*Assumptions!B14*Assumptions!B16</f>
        <v>196875</v>
      </c>
      <c r="E6" s="12" t="n">
        <f aca="false">B6+C6+D6</f>
        <v>268125</v>
      </c>
    </row>
    <row r="7" customFormat="false" ht="15.75" hidden="false" customHeight="true" outlineLevel="0" collapsed="false">
      <c r="A7" s="7" t="s">
        <v>99</v>
      </c>
      <c r="B7" s="12" t="n">
        <f aca="false">Assumptions!B7*Assumptions!B9*Assumptions!B27*Assumptions!B15*Assumptions!B16</f>
        <v>7200</v>
      </c>
      <c r="C7" s="12" t="n">
        <f aca="false">Assumptions!B7*Assumptions!B52*Assumptions!B9*Assumptions!B28*Assumptions!B15*Assumptions!B16</f>
        <v>18000</v>
      </c>
      <c r="D7" s="12" t="n">
        <f aca="false">Assumptions!B7*Assumptions!B52*Assumptions!B9*Assumptions!B29*Assumptions!B15*Assumptions!B16</f>
        <v>32400</v>
      </c>
      <c r="E7" s="12" t="n">
        <f aca="false">B7+C7+D7</f>
        <v>57600</v>
      </c>
    </row>
    <row r="8" customFormat="false" ht="15.75" hidden="false" customHeight="true" outlineLevel="0" collapsed="false">
      <c r="A8" s="7" t="s">
        <v>100</v>
      </c>
      <c r="B8" s="12" t="n">
        <f aca="false">Assumptions!B6*Assumptions!B8*Assumptions!B32*Assumptions!B17*12</f>
        <v>107640</v>
      </c>
      <c r="C8" s="12" t="n">
        <f aca="false">Assumptions!B6*Assumptions!B53*Assumptions!B8*Assumptions!B33*Assumptions!B17*12</f>
        <v>358800</v>
      </c>
      <c r="D8" s="12" t="n">
        <f aca="false">Assumptions!B6*Assumptions!B54*Assumptions!B8*Assumptions!B34*Assumptions!B17*12</f>
        <v>816270</v>
      </c>
      <c r="E8" s="12" t="n">
        <f aca="false">B8+C8+D8</f>
        <v>1282710</v>
      </c>
    </row>
    <row r="9" customFormat="false" ht="15.75" hidden="false" customHeight="true" outlineLevel="0" collapsed="false">
      <c r="A9" s="7" t="s">
        <v>101</v>
      </c>
      <c r="B9" s="12" t="n">
        <f aca="false">Assumptions!B7*Assumptions!B9*Assumptions!B35*Assumptions!B18*12</f>
        <v>37674</v>
      </c>
      <c r="C9" s="12" t="n">
        <f aca="false">Assumptions!B7*Assumptions!B52*Assumptions!B9*Assumptions!B36*Assumptions!B18*12</f>
        <v>59202</v>
      </c>
      <c r="D9" s="12" t="n">
        <f aca="false">Assumptions!B7*Assumptions!B52*Assumptions!B9*Assumptions!B37*Assumptions!B18*12</f>
        <v>75348</v>
      </c>
      <c r="E9" s="12" t="n">
        <f aca="false">B9+C9+D9</f>
        <v>172224</v>
      </c>
    </row>
    <row r="10" customFormat="false" ht="15.75" hidden="false" customHeight="true" outlineLevel="0" collapsed="false">
      <c r="A10" s="7" t="s">
        <v>102</v>
      </c>
      <c r="B10" s="12" t="n">
        <f aca="false">Assumptions!B11*0.15*Assumptions!B19*12</f>
        <v>44100</v>
      </c>
      <c r="C10" s="12" t="n">
        <f aca="false">Assumptions!B11*Assumptions!B53*0.2*Assumptions!B19*12</f>
        <v>117600</v>
      </c>
      <c r="D10" s="12" t="n">
        <f aca="false">Assumptions!B11*Assumptions!B54*0.25*Assumptions!B19*12</f>
        <v>257250</v>
      </c>
      <c r="E10" s="12" t="n">
        <f aca="false">B10+C10+D10</f>
        <v>418950</v>
      </c>
    </row>
    <row r="11" customFormat="false" ht="15.75" hidden="false" customHeight="true" outlineLevel="0" collapsed="false">
      <c r="A11" s="7" t="s">
        <v>103</v>
      </c>
      <c r="B11" s="12" t="n">
        <f aca="false">Assumptions!B10*0.1*Assumptions!B20*12</f>
        <v>27840</v>
      </c>
      <c r="C11" s="12" t="n">
        <f aca="false">Assumptions!B10*Assumptions!B53*0.15*Assumptions!B20*12</f>
        <v>83520</v>
      </c>
      <c r="D11" s="12" t="n">
        <f aca="false">Assumptions!B10*Assumptions!B54*0.2*Assumptions!B20*12</f>
        <v>194880</v>
      </c>
      <c r="E11" s="12" t="n">
        <f aca="false">B11+C11+D11</f>
        <v>306240</v>
      </c>
    </row>
    <row r="12" customFormat="false" ht="15.75" hidden="false" customHeight="true" outlineLevel="0" collapsed="false">
      <c r="A12" s="7" t="s">
        <v>104</v>
      </c>
      <c r="B12" s="12" t="n">
        <f aca="false">50*0.2*Assumptions!B21*12</f>
        <v>17880</v>
      </c>
      <c r="C12" s="12" t="n">
        <f aca="false">100*0.3*Assumptions!B21*12</f>
        <v>53640</v>
      </c>
      <c r="D12" s="12" t="n">
        <f aca="false">200*0.4*Assumptions!B21*12</f>
        <v>143040</v>
      </c>
      <c r="E12" s="12" t="n">
        <f aca="false">B12+C12+D12</f>
        <v>214560</v>
      </c>
    </row>
    <row r="13" customFormat="false" ht="15.75" hidden="false" customHeight="true" outlineLevel="0" collapsed="false">
      <c r="A13" s="13" t="s">
        <v>105</v>
      </c>
      <c r="B13" s="14" t="n">
        <f aca="false">SUM(B6:B12)</f>
        <v>253584</v>
      </c>
      <c r="C13" s="14" t="n">
        <f aca="false">SUM(C6:C12)</f>
        <v>750762</v>
      </c>
      <c r="D13" s="14" t="n">
        <f aca="false">SUM(D6:D12)</f>
        <v>1716063</v>
      </c>
      <c r="E13" s="14" t="n">
        <f aca="false">SUM(E6:E12)</f>
        <v>2720409</v>
      </c>
    </row>
    <row r="14" customFormat="false" ht="15.75" hidden="false" customHeight="true" outlineLevel="0" collapsed="false">
      <c r="A14" s="7"/>
      <c r="B14" s="10"/>
      <c r="C14" s="10"/>
      <c r="D14" s="10"/>
      <c r="E14" s="10"/>
    </row>
    <row r="15" customFormat="false" ht="15.75" hidden="false" customHeight="true" outlineLevel="0" collapsed="false">
      <c r="A15" s="6" t="s">
        <v>106</v>
      </c>
      <c r="B15" s="6"/>
      <c r="C15" s="6"/>
      <c r="D15" s="6"/>
      <c r="E15" s="6"/>
    </row>
    <row r="16" customFormat="false" ht="15.75" hidden="false" customHeight="true" outlineLevel="0" collapsed="false">
      <c r="A16" s="7" t="s">
        <v>107</v>
      </c>
      <c r="B16" s="15" t="n">
        <f aca="false">-(B6+B7)*0.015</f>
        <v>-276.75</v>
      </c>
      <c r="C16" s="15" t="n">
        <f aca="false">-(C6+C7)*0.015</f>
        <v>-1170</v>
      </c>
      <c r="D16" s="15" t="n">
        <f aca="false">-(D6+D7)*0.015</f>
        <v>-3439.125</v>
      </c>
      <c r="E16" s="15" t="n">
        <f aca="false">-(E6+E7)*0.015</f>
        <v>-4885.875</v>
      </c>
    </row>
    <row r="17" customFormat="false" ht="15.75" hidden="false" customHeight="true" outlineLevel="0" collapsed="false">
      <c r="A17" s="7" t="s">
        <v>108</v>
      </c>
      <c r="B17" s="12" t="n">
        <f aca="false">-Assumptions!B42*12</f>
        <v>-9600</v>
      </c>
      <c r="C17" s="12" t="n">
        <f aca="false">-Assumptions!B42*12*1.5</f>
        <v>-14400</v>
      </c>
      <c r="D17" s="12" t="n">
        <f aca="false">-Assumptions!B42*12*2</f>
        <v>-19200</v>
      </c>
      <c r="E17" s="12" t="n">
        <f aca="false">B17+C17+D17</f>
        <v>-43200</v>
      </c>
    </row>
    <row r="18" customFormat="false" ht="15.75" hidden="false" customHeight="true" outlineLevel="0" collapsed="false">
      <c r="A18" s="13" t="s">
        <v>109</v>
      </c>
      <c r="B18" s="14" t="n">
        <f aca="false">B13+B16+B17</f>
        <v>243707.25</v>
      </c>
      <c r="C18" s="14" t="n">
        <f aca="false">C13+C16+C17</f>
        <v>735192</v>
      </c>
      <c r="D18" s="14" t="n">
        <f aca="false">D13+D16+D17</f>
        <v>1693423.875</v>
      </c>
      <c r="E18" s="14" t="n">
        <f aca="false">E13+E16+E17</f>
        <v>2672323.125</v>
      </c>
    </row>
    <row r="19" customFormat="false" ht="15.75" hidden="false" customHeight="true" outlineLevel="0" collapsed="false">
      <c r="A19" s="7"/>
      <c r="B19" s="10"/>
      <c r="C19" s="10"/>
      <c r="D19" s="10"/>
      <c r="E19" s="10"/>
    </row>
    <row r="20" customFormat="false" ht="15.75" hidden="false" customHeight="true" outlineLevel="0" collapsed="false">
      <c r="A20" s="6" t="s">
        <v>110</v>
      </c>
      <c r="B20" s="6"/>
      <c r="C20" s="6"/>
      <c r="D20" s="6"/>
      <c r="E20" s="6"/>
    </row>
    <row r="21" customFormat="false" ht="15.75" hidden="false" customHeight="true" outlineLevel="0" collapsed="false">
      <c r="A21" s="7" t="s">
        <v>111</v>
      </c>
      <c r="B21" s="12" t="n">
        <f aca="false">-Assumptions!B40*12</f>
        <v>-18000</v>
      </c>
      <c r="C21" s="12" t="n">
        <f aca="false">-Assumptions!B40*12*1.4</f>
        <v>-25200</v>
      </c>
      <c r="D21" s="12" t="n">
        <f aca="false">-Assumptions!B40*12*2</f>
        <v>-36000</v>
      </c>
      <c r="E21" s="12" t="n">
        <f aca="false">B21+C21+D21</f>
        <v>-79200</v>
      </c>
    </row>
    <row r="22" customFormat="false" ht="15.75" hidden="false" customHeight="true" outlineLevel="0" collapsed="false">
      <c r="A22" s="7" t="s">
        <v>112</v>
      </c>
      <c r="B22" s="12" t="n">
        <f aca="false">-Assumptions!B43*12</f>
        <v>-6000</v>
      </c>
      <c r="C22" s="12" t="n">
        <f aca="false">-Assumptions!B43*12</f>
        <v>-6000</v>
      </c>
      <c r="D22" s="12" t="n">
        <f aca="false">-Assumptions!B43*12*1.5</f>
        <v>-9000</v>
      </c>
      <c r="E22" s="12" t="n">
        <f aca="false">B22+C22+D22</f>
        <v>-21000</v>
      </c>
    </row>
    <row r="23" customFormat="false" ht="15.75" hidden="false" customHeight="true" outlineLevel="0" collapsed="false">
      <c r="A23" s="7" t="s">
        <v>113</v>
      </c>
      <c r="B23" s="12" t="n">
        <f aca="false">-Assumptions!B44*12</f>
        <v>-36000</v>
      </c>
      <c r="C23" s="12" t="n">
        <f aca="false">-Assumptions!B44*12*1.5</f>
        <v>-54000</v>
      </c>
      <c r="D23" s="12" t="n">
        <f aca="false">-Assumptions!B44*12*2</f>
        <v>-72000</v>
      </c>
      <c r="E23" s="12" t="n">
        <f aca="false">B23+C23+D23</f>
        <v>-162000</v>
      </c>
    </row>
    <row r="24" customFormat="false" ht="15.75" hidden="false" customHeight="true" outlineLevel="0" collapsed="false">
      <c r="A24" s="7" t="s">
        <v>114</v>
      </c>
      <c r="B24" s="12" t="n">
        <f aca="false">-Assumptions!B45*12</f>
        <v>-48000</v>
      </c>
      <c r="C24" s="12" t="n">
        <f aca="false">-Assumptions!B45*12*1.5</f>
        <v>-72000</v>
      </c>
      <c r="D24" s="12" t="n">
        <f aca="false">-Assumptions!B45*12*2</f>
        <v>-96000</v>
      </c>
      <c r="E24" s="12" t="n">
        <f aca="false">B24+C24+D24</f>
        <v>-216000</v>
      </c>
    </row>
    <row r="25" customFormat="false" ht="15.75" hidden="false" customHeight="true" outlineLevel="0" collapsed="false">
      <c r="A25" s="7" t="s">
        <v>115</v>
      </c>
      <c r="B25" s="12" t="n">
        <f aca="false">-Assumptions!B46*12</f>
        <v>-90000</v>
      </c>
      <c r="C25" s="12" t="n">
        <f aca="false">-Assumptions!B46*12*1.5</f>
        <v>-135000</v>
      </c>
      <c r="D25" s="12" t="n">
        <f aca="false">-Assumptions!B46*12*2</f>
        <v>-180000</v>
      </c>
      <c r="E25" s="12" t="n">
        <f aca="false">B25+C25+D25</f>
        <v>-405000</v>
      </c>
    </row>
    <row r="26" customFormat="false" ht="15.75" hidden="false" customHeight="true" outlineLevel="0" collapsed="false">
      <c r="A26" s="7" t="s">
        <v>116</v>
      </c>
      <c r="B26" s="12" t="n">
        <f aca="false">-Assumptions!B47*12</f>
        <v>-36000</v>
      </c>
      <c r="C26" s="12" t="n">
        <f aca="false">-Assumptions!B47*12*1.5</f>
        <v>-54000</v>
      </c>
      <c r="D26" s="12" t="n">
        <f aca="false">-Assumptions!B47*12*2</f>
        <v>-72000</v>
      </c>
      <c r="E26" s="12" t="n">
        <f aca="false">B26+C26+D26</f>
        <v>-162000</v>
      </c>
    </row>
    <row r="27" customFormat="false" ht="15.75" hidden="false" customHeight="true" outlineLevel="0" collapsed="false">
      <c r="A27" s="7" t="s">
        <v>117</v>
      </c>
      <c r="B27" s="12" t="n">
        <f aca="false">-Assumptions!B48*12</f>
        <v>-180000</v>
      </c>
      <c r="C27" s="12" t="n">
        <f aca="false">-Assumptions!B48*12*2</f>
        <v>-360000</v>
      </c>
      <c r="D27" s="12" t="n">
        <f aca="false">-Assumptions!B48*12*3</f>
        <v>-540000</v>
      </c>
      <c r="E27" s="12" t="n">
        <f aca="false">B27+C27+D27</f>
        <v>-1080000</v>
      </c>
    </row>
    <row r="28" customFormat="false" ht="15.75" hidden="false" customHeight="true" outlineLevel="0" collapsed="false">
      <c r="A28" s="7" t="s">
        <v>118</v>
      </c>
      <c r="B28" s="12" t="n">
        <f aca="false">-Assumptions!B49*12</f>
        <v>-30000</v>
      </c>
      <c r="C28" s="12" t="n">
        <f aca="false">-Assumptions!B49*12*1.5</f>
        <v>-45000</v>
      </c>
      <c r="D28" s="12" t="n">
        <f aca="false">-Assumptions!B49*12*2</f>
        <v>-60000</v>
      </c>
      <c r="E28" s="12" t="n">
        <f aca="false">B28+C28+D28</f>
        <v>-135000</v>
      </c>
    </row>
    <row r="29" customFormat="false" ht="15.75" hidden="false" customHeight="true" outlineLevel="0" collapsed="false">
      <c r="A29" s="13" t="s">
        <v>119</v>
      </c>
      <c r="B29" s="16" t="n">
        <f aca="false">SUM(B21:B28)</f>
        <v>-444000</v>
      </c>
      <c r="C29" s="16" t="n">
        <f aca="false">SUM(C21:C28)</f>
        <v>-751200</v>
      </c>
      <c r="D29" s="16" t="n">
        <f aca="false">SUM(D21:D28)</f>
        <v>-1065000</v>
      </c>
      <c r="E29" s="17" t="n">
        <f aca="false">SUM(E21:E28)</f>
        <v>-2260200</v>
      </c>
    </row>
    <row r="30" customFormat="false" ht="15.75" hidden="false" customHeight="true" outlineLevel="0" collapsed="false">
      <c r="A30" s="7"/>
      <c r="B30" s="10"/>
      <c r="C30" s="10"/>
      <c r="D30" s="10"/>
      <c r="E30" s="10"/>
    </row>
    <row r="31" customFormat="false" ht="15.75" hidden="false" customHeight="true" outlineLevel="0" collapsed="false">
      <c r="A31" s="13" t="s">
        <v>120</v>
      </c>
      <c r="B31" s="14" t="n">
        <f aca="false">B18+B29</f>
        <v>-200292.75</v>
      </c>
      <c r="C31" s="14" t="n">
        <f aca="false">C18+C29</f>
        <v>-16008</v>
      </c>
      <c r="D31" s="14" t="n">
        <f aca="false">D18+D29</f>
        <v>628423.875</v>
      </c>
      <c r="E31" s="14" t="n">
        <f aca="false">E18+E29</f>
        <v>412123.125</v>
      </c>
    </row>
    <row r="32" customFormat="false" ht="15.75" hidden="false" customHeight="true" outlineLevel="0" collapsed="false">
      <c r="A32" s="13" t="s">
        <v>121</v>
      </c>
      <c r="B32" s="18" t="n">
        <f aca="false">IF(B13=0,0,B31/B13)</f>
        <v>-0.789847742759796</v>
      </c>
      <c r="C32" s="18" t="n">
        <f aca="false">IF(C13=0,0,C31/C13)</f>
        <v>-0.0213223365061098</v>
      </c>
      <c r="D32" s="18" t="n">
        <f aca="false">IF(D13=0,0,D31/D13)</f>
        <v>0.366200934930711</v>
      </c>
      <c r="E32" s="19" t="s">
        <v>122</v>
      </c>
    </row>
  </sheetData>
  <mergeCells count="5">
    <mergeCell ref="A1:E1"/>
    <mergeCell ref="A2:E2"/>
    <mergeCell ref="A5:E5"/>
    <mergeCell ref="A15:E15"/>
    <mergeCell ref="A20:E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22"/>
    <col collapsed="false" customWidth="true" hidden="false" outlineLevel="0" max="3" min="3" style="1" width="40"/>
  </cols>
  <sheetData>
    <row r="1" customFormat="false" ht="27.75" hidden="false" customHeight="true" outlineLevel="0" collapsed="false">
      <c r="A1" s="2" t="s">
        <v>123</v>
      </c>
      <c r="B1" s="2"/>
      <c r="C1" s="2"/>
    </row>
    <row r="2" customFormat="false" ht="18" hidden="false" customHeight="true" outlineLevel="0" collapsed="false">
      <c r="A2" s="3" t="s">
        <v>124</v>
      </c>
      <c r="B2" s="3"/>
      <c r="C2" s="3"/>
    </row>
    <row r="4" customFormat="false" ht="19.5" hidden="false" customHeight="true" outlineLevel="0" collapsed="false">
      <c r="A4" s="4" t="s">
        <v>125</v>
      </c>
      <c r="B4" s="5" t="s">
        <v>3</v>
      </c>
      <c r="C4" s="4" t="s">
        <v>126</v>
      </c>
    </row>
    <row r="5" customFormat="false" ht="18" hidden="false" customHeight="true" outlineLevel="0" collapsed="false">
      <c r="A5" s="6" t="s">
        <v>127</v>
      </c>
      <c r="B5" s="6"/>
      <c r="C5" s="6"/>
    </row>
    <row r="6" customFormat="false" ht="15.75" hidden="false" customHeight="true" outlineLevel="0" collapsed="false">
      <c r="A6" s="7" t="s">
        <v>128</v>
      </c>
      <c r="B6" s="12" t="n">
        <f aca="false">Assumptions!B14</f>
        <v>250</v>
      </c>
      <c r="C6" s="7" t="s">
        <v>129</v>
      </c>
    </row>
    <row r="7" customFormat="false" ht="15.75" hidden="false" customHeight="true" outlineLevel="0" collapsed="false">
      <c r="A7" s="7" t="s">
        <v>130</v>
      </c>
      <c r="B7" s="12" t="n">
        <f aca="false">Assumptions!B15</f>
        <v>400</v>
      </c>
      <c r="C7" s="7" t="s">
        <v>129</v>
      </c>
    </row>
    <row r="8" customFormat="false" ht="15.75" hidden="false" customHeight="true" outlineLevel="0" collapsed="false">
      <c r="A8" s="7" t="s">
        <v>131</v>
      </c>
      <c r="B8" s="20" t="n">
        <f aca="false">Assumptions!B16</f>
        <v>0.15</v>
      </c>
      <c r="C8" s="7" t="s">
        <v>132</v>
      </c>
    </row>
    <row r="9" customFormat="false" ht="15.75" hidden="false" customHeight="true" outlineLevel="0" collapsed="false">
      <c r="A9" s="7" t="s">
        <v>133</v>
      </c>
      <c r="B9" s="12" t="n">
        <f aca="false">B6*B8</f>
        <v>37.5</v>
      </c>
      <c r="C9" s="7" t="s">
        <v>134</v>
      </c>
    </row>
    <row r="10" customFormat="false" ht="15.75" hidden="false" customHeight="true" outlineLevel="0" collapsed="false">
      <c r="A10" s="7" t="s">
        <v>135</v>
      </c>
      <c r="B10" s="12" t="n">
        <f aca="false">B7*B8</f>
        <v>60</v>
      </c>
      <c r="C10" s="7" t="s">
        <v>134</v>
      </c>
    </row>
    <row r="11" customFormat="false" ht="15.75" hidden="false" customHeight="true" outlineLevel="0" collapsed="false">
      <c r="A11" s="7" t="s">
        <v>136</v>
      </c>
      <c r="B11" s="12" t="n">
        <f aca="false">-(B6*0.015)</f>
        <v>-3.75</v>
      </c>
      <c r="C11" s="7" t="s">
        <v>137</v>
      </c>
    </row>
    <row r="12" customFormat="false" ht="15.75" hidden="false" customHeight="true" outlineLevel="0" collapsed="false">
      <c r="A12" s="21" t="s">
        <v>138</v>
      </c>
      <c r="B12" s="22" t="n">
        <f aca="false">B9+B11</f>
        <v>33.75</v>
      </c>
      <c r="C12" s="23" t="s">
        <v>139</v>
      </c>
    </row>
    <row r="13" customFormat="false" ht="15.75" hidden="false" customHeight="true" outlineLevel="0" collapsed="false">
      <c r="A13" s="21" t="s">
        <v>140</v>
      </c>
      <c r="B13" s="22" t="n">
        <f aca="false">B10+B11</f>
        <v>56.25</v>
      </c>
      <c r="C13" s="23" t="s">
        <v>139</v>
      </c>
    </row>
    <row r="14" customFormat="false" ht="15" hidden="false" customHeight="true" outlineLevel="0" collapsed="false">
      <c r="A14" s="10"/>
      <c r="B14" s="10"/>
      <c r="C14" s="10"/>
    </row>
    <row r="15" customFormat="false" ht="18" hidden="false" customHeight="true" outlineLevel="0" collapsed="false">
      <c r="A15" s="6" t="s">
        <v>141</v>
      </c>
      <c r="B15" s="6"/>
      <c r="C15" s="6"/>
    </row>
    <row r="16" customFormat="false" ht="15.75" hidden="false" customHeight="true" outlineLevel="0" collapsed="false">
      <c r="A16" s="7" t="s">
        <v>142</v>
      </c>
      <c r="B16" s="12" t="n">
        <v>400</v>
      </c>
      <c r="C16" s="7" t="s">
        <v>143</v>
      </c>
    </row>
    <row r="17" customFormat="false" ht="15.75" hidden="false" customHeight="true" outlineLevel="0" collapsed="false">
      <c r="A17" s="7" t="s">
        <v>144</v>
      </c>
      <c r="B17" s="12" t="n">
        <v>35</v>
      </c>
      <c r="C17" s="7" t="s">
        <v>145</v>
      </c>
    </row>
    <row r="18" customFormat="false" ht="15.75" hidden="false" customHeight="true" outlineLevel="0" collapsed="false">
      <c r="A18" s="7" t="s">
        <v>146</v>
      </c>
      <c r="B18" s="24" t="n">
        <f aca="false">B16/B12</f>
        <v>11.8518518518519</v>
      </c>
      <c r="C18" s="7" t="s">
        <v>147</v>
      </c>
    </row>
    <row r="19" customFormat="false" ht="15.75" hidden="false" customHeight="true" outlineLevel="0" collapsed="false">
      <c r="A19" s="7" t="s">
        <v>148</v>
      </c>
      <c r="B19" s="24" t="n">
        <f aca="false">B17/(B9*0.5)</f>
        <v>1.86666666666667</v>
      </c>
      <c r="C19" s="7" t="s">
        <v>149</v>
      </c>
    </row>
    <row r="20" customFormat="false" ht="15" hidden="false" customHeight="true" outlineLevel="0" collapsed="false">
      <c r="A20" s="10"/>
      <c r="B20" s="10"/>
      <c r="C20" s="10"/>
    </row>
    <row r="21" customFormat="false" ht="18" hidden="false" customHeight="true" outlineLevel="0" collapsed="false">
      <c r="A21" s="6" t="s">
        <v>150</v>
      </c>
      <c r="B21" s="6"/>
      <c r="C21" s="6"/>
    </row>
    <row r="22" customFormat="false" ht="15.75" hidden="false" customHeight="true" outlineLevel="0" collapsed="false">
      <c r="A22" s="7" t="s">
        <v>151</v>
      </c>
      <c r="B22" s="12" t="n">
        <f aca="false">Assumptions!B24</f>
        <v>3</v>
      </c>
      <c r="C22" s="7" t="s">
        <v>152</v>
      </c>
    </row>
    <row r="23" customFormat="false" ht="15.75" hidden="false" customHeight="true" outlineLevel="0" collapsed="false">
      <c r="A23" s="7" t="s">
        <v>153</v>
      </c>
      <c r="B23" s="12" t="n">
        <f aca="false">Assumptions!B17*Assumptions!B32</f>
        <v>89.7</v>
      </c>
      <c r="C23" s="7" t="s">
        <v>154</v>
      </c>
    </row>
    <row r="24" customFormat="false" ht="15.75" hidden="false" customHeight="true" outlineLevel="0" collapsed="false">
      <c r="A24" s="7" t="s">
        <v>155</v>
      </c>
      <c r="B24" s="12" t="n">
        <f aca="false">B22*B9+B23</f>
        <v>202.2</v>
      </c>
      <c r="C24" s="7" t="s">
        <v>156</v>
      </c>
    </row>
    <row r="25" customFormat="false" ht="15.75" hidden="false" customHeight="true" outlineLevel="0" collapsed="false">
      <c r="A25" s="21" t="s">
        <v>157</v>
      </c>
      <c r="B25" s="22" t="n">
        <f aca="false">B24*12</f>
        <v>2426.4</v>
      </c>
      <c r="C25" s="23" t="s">
        <v>158</v>
      </c>
    </row>
    <row r="26" customFormat="false" ht="15.75" hidden="false" customHeight="true" outlineLevel="0" collapsed="false">
      <c r="A26" s="21" t="s">
        <v>159</v>
      </c>
      <c r="B26" s="25" t="n">
        <f aca="false">B25/B16</f>
        <v>6.066</v>
      </c>
      <c r="C26" s="23" t="s">
        <v>160</v>
      </c>
    </row>
    <row r="27" customFormat="false" ht="15" hidden="false" customHeight="true" outlineLevel="0" collapsed="false">
      <c r="A27" s="10"/>
      <c r="B27" s="10"/>
      <c r="C27" s="10"/>
    </row>
    <row r="28" customFormat="false" ht="15.75" hidden="false" customHeight="true" outlineLevel="0" collapsed="false">
      <c r="A28" s="7" t="s">
        <v>161</v>
      </c>
      <c r="B28" s="12" t="n">
        <v>0.5</v>
      </c>
      <c r="C28" s="7" t="s">
        <v>162</v>
      </c>
    </row>
    <row r="29" customFormat="false" ht="15.75" hidden="false" customHeight="true" outlineLevel="0" collapsed="false">
      <c r="A29" s="7" t="s">
        <v>163</v>
      </c>
      <c r="B29" s="12" t="n">
        <f aca="false">Assumptions!B20*0.1</f>
        <v>2.9</v>
      </c>
      <c r="C29" s="7" t="s">
        <v>164</v>
      </c>
    </row>
    <row r="30" customFormat="false" ht="15.75" hidden="false" customHeight="true" outlineLevel="0" collapsed="false">
      <c r="A30" s="7" t="s">
        <v>165</v>
      </c>
      <c r="B30" s="12" t="n">
        <f aca="false">B28*B9*0.5+B29</f>
        <v>12.275</v>
      </c>
      <c r="C30" s="7" t="s">
        <v>166</v>
      </c>
    </row>
    <row r="31" customFormat="false" ht="15.75" hidden="false" customHeight="true" outlineLevel="0" collapsed="false">
      <c r="A31" s="21" t="s">
        <v>167</v>
      </c>
      <c r="B31" s="22" t="n">
        <f aca="false">B30*12</f>
        <v>147.3</v>
      </c>
      <c r="C31" s="23" t="s">
        <v>168</v>
      </c>
    </row>
    <row r="32" customFormat="false" ht="15.75" hidden="false" customHeight="true" outlineLevel="0" collapsed="false">
      <c r="A32" s="21" t="s">
        <v>169</v>
      </c>
      <c r="B32" s="25" t="n">
        <f aca="false">B31/B17</f>
        <v>4.20857142857143</v>
      </c>
      <c r="C32" s="23" t="s">
        <v>170</v>
      </c>
    </row>
    <row r="33" customFormat="false" ht="15" hidden="false" customHeight="true" outlineLevel="0" collapsed="false">
      <c r="A33" s="10"/>
      <c r="B33" s="10"/>
      <c r="C33" s="10"/>
    </row>
    <row r="34" customFormat="false" ht="18" hidden="false" customHeight="true" outlineLevel="0" collapsed="false">
      <c r="A34" s="6" t="s">
        <v>171</v>
      </c>
      <c r="B34" s="6"/>
      <c r="C34" s="6"/>
    </row>
    <row r="35" customFormat="false" ht="15.75" hidden="false" customHeight="true" outlineLevel="0" collapsed="false">
      <c r="A35" s="7" t="s">
        <v>172</v>
      </c>
      <c r="B35" s="12" t="n">
        <f aca="false">Assumptions!B40+Assumptions!B42+Assumptions!B43+Assumptions!B44+Assumptions!B45+Assumptions!B46+Assumptions!B47+Assumptions!B48+Assumptions!B49</f>
        <v>37800</v>
      </c>
      <c r="C35" s="7" t="s">
        <v>173</v>
      </c>
    </row>
    <row r="36" customFormat="false" ht="15.75" hidden="false" customHeight="true" outlineLevel="0" collapsed="false">
      <c r="A36" s="7" t="s">
        <v>174</v>
      </c>
      <c r="B36" s="12" t="n">
        <f aca="false">Assumptions!B14*0.015</f>
        <v>3.75</v>
      </c>
      <c r="C36" s="7" t="s">
        <v>175</v>
      </c>
    </row>
    <row r="37" customFormat="false" ht="15.75" hidden="false" customHeight="true" outlineLevel="0" collapsed="false">
      <c r="A37" s="7" t="s">
        <v>176</v>
      </c>
      <c r="B37" s="12" t="n">
        <f aca="false">B9+B11</f>
        <v>33.75</v>
      </c>
      <c r="C37" s="7" t="s">
        <v>177</v>
      </c>
    </row>
    <row r="38" customFormat="false" ht="15.75" hidden="false" customHeight="true" outlineLevel="0" collapsed="false">
      <c r="A38" s="21" t="s">
        <v>178</v>
      </c>
      <c r="B38" s="26" t="n">
        <f aca="false">ROUNDUP(B35/(B37),0)</f>
        <v>1120</v>
      </c>
      <c r="C38" s="23" t="s">
        <v>179</v>
      </c>
    </row>
    <row r="39" customFormat="false" ht="15.75" hidden="false" customHeight="true" outlineLevel="0" collapsed="false">
      <c r="A39" s="21" t="s">
        <v>180</v>
      </c>
      <c r="B39" s="26" t="n">
        <f aca="false">ROUNDUP(B38/Assumptions!B24,0)</f>
        <v>374</v>
      </c>
      <c r="C39" s="23" t="s">
        <v>181</v>
      </c>
    </row>
    <row r="40" customFormat="false" ht="15.75" hidden="false" customHeight="true" outlineLevel="0" collapsed="false">
      <c r="A40" s="7" t="s">
        <v>182</v>
      </c>
      <c r="B40" s="24" t="s">
        <v>183</v>
      </c>
      <c r="C40" s="7" t="s">
        <v>184</v>
      </c>
    </row>
  </sheetData>
  <mergeCells count="6">
    <mergeCell ref="A1:C1"/>
    <mergeCell ref="A2:C2"/>
    <mergeCell ref="A5:C5"/>
    <mergeCell ref="A15:C15"/>
    <mergeCell ref="A21:C21"/>
    <mergeCell ref="A34:C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6"/>
    <col collapsed="false" customWidth="true" hidden="false" outlineLevel="0" max="4" min="2" style="1" width="20"/>
    <col collapsed="false" customWidth="true" hidden="false" outlineLevel="0" max="5" min="5" style="1" width="22"/>
  </cols>
  <sheetData>
    <row r="1" customFormat="false" ht="27.75" hidden="false" customHeight="true" outlineLevel="0" collapsed="false">
      <c r="A1" s="2" t="s">
        <v>185</v>
      </c>
      <c r="B1" s="2"/>
      <c r="C1" s="2"/>
      <c r="D1" s="2"/>
      <c r="E1" s="2"/>
    </row>
    <row r="2" customFormat="false" ht="18" hidden="false" customHeight="true" outlineLevel="0" collapsed="false">
      <c r="A2" s="3" t="s">
        <v>186</v>
      </c>
      <c r="B2" s="3"/>
      <c r="C2" s="3"/>
      <c r="D2" s="3"/>
      <c r="E2" s="3"/>
    </row>
    <row r="4" customFormat="false" ht="19.5" hidden="false" customHeight="true" outlineLevel="0" collapsed="false">
      <c r="A4" s="4" t="s">
        <v>187</v>
      </c>
      <c r="B4" s="5" t="s">
        <v>188</v>
      </c>
      <c r="C4" s="5" t="s">
        <v>189</v>
      </c>
      <c r="D4" s="5" t="s">
        <v>190</v>
      </c>
      <c r="E4" s="5" t="s">
        <v>191</v>
      </c>
    </row>
    <row r="5" customFormat="false" ht="15.75" hidden="false" customHeight="true" outlineLevel="0" collapsed="false">
      <c r="A5" s="27" t="s">
        <v>192</v>
      </c>
      <c r="B5" s="28" t="n">
        <v>8000</v>
      </c>
      <c r="C5" s="28"/>
      <c r="D5" s="12" t="n">
        <f aca="false">B5+(C5*3)</f>
        <v>8000</v>
      </c>
      <c r="E5" s="29" t="s">
        <v>193</v>
      </c>
    </row>
    <row r="6" customFormat="false" ht="15.75" hidden="false" customHeight="true" outlineLevel="0" collapsed="false">
      <c r="A6" s="27" t="s">
        <v>194</v>
      </c>
      <c r="B6" s="28" t="n">
        <v>5000</v>
      </c>
      <c r="C6" s="28"/>
      <c r="D6" s="12" t="n">
        <f aca="false">B6+(C6*3)</f>
        <v>5000</v>
      </c>
      <c r="E6" s="29" t="s">
        <v>195</v>
      </c>
    </row>
    <row r="7" customFormat="false" ht="15.75" hidden="false" customHeight="true" outlineLevel="0" collapsed="false">
      <c r="A7" s="27" t="s">
        <v>196</v>
      </c>
      <c r="B7" s="28" t="n">
        <v>2000</v>
      </c>
      <c r="C7" s="28" t="n">
        <v>500</v>
      </c>
      <c r="D7" s="12" t="n">
        <f aca="false">B7+(C7*3)</f>
        <v>3500</v>
      </c>
      <c r="E7" s="29" t="s">
        <v>197</v>
      </c>
    </row>
    <row r="8" customFormat="false" ht="15.75" hidden="false" customHeight="true" outlineLevel="0" collapsed="false">
      <c r="A8" s="27" t="s">
        <v>198</v>
      </c>
      <c r="B8" s="28" t="n">
        <v>1500</v>
      </c>
      <c r="C8" s="28" t="n">
        <v>500</v>
      </c>
      <c r="D8" s="12" t="n">
        <f aca="false">B8+(C8*3)</f>
        <v>3000</v>
      </c>
      <c r="E8" s="29" t="s">
        <v>197</v>
      </c>
    </row>
    <row r="9" customFormat="false" ht="15.75" hidden="false" customHeight="true" outlineLevel="0" collapsed="false">
      <c r="A9" s="27" t="s">
        <v>60</v>
      </c>
      <c r="B9" s="28"/>
      <c r="C9" s="28" t="n">
        <v>1500</v>
      </c>
      <c r="D9" s="12" t="n">
        <f aca="false">B9+(C9*3)</f>
        <v>4500</v>
      </c>
      <c r="E9" s="29" t="s">
        <v>197</v>
      </c>
    </row>
    <row r="10" customFormat="false" ht="15.75" hidden="false" customHeight="true" outlineLevel="0" collapsed="false">
      <c r="A10" s="27" t="s">
        <v>199</v>
      </c>
      <c r="B10" s="28"/>
      <c r="C10" s="28" t="n">
        <v>800</v>
      </c>
      <c r="D10" s="12" t="n">
        <f aca="false">B10+(C10*3)</f>
        <v>2400</v>
      </c>
      <c r="E10" s="29" t="s">
        <v>197</v>
      </c>
    </row>
    <row r="11" customFormat="false" ht="15.75" hidden="false" customHeight="true" outlineLevel="0" collapsed="false">
      <c r="A11" s="27" t="s">
        <v>200</v>
      </c>
      <c r="B11" s="28"/>
      <c r="C11" s="28" t="n">
        <v>3000</v>
      </c>
      <c r="D11" s="12" t="n">
        <f aca="false">B11+(C11*3)</f>
        <v>9000</v>
      </c>
      <c r="E11" s="29" t="s">
        <v>201</v>
      </c>
    </row>
    <row r="12" customFormat="false" ht="15.75" hidden="false" customHeight="true" outlineLevel="0" collapsed="false">
      <c r="A12" s="27" t="s">
        <v>202</v>
      </c>
      <c r="B12" s="28"/>
      <c r="C12" s="28" t="n">
        <v>4000</v>
      </c>
      <c r="D12" s="12" t="n">
        <f aca="false">B12+(C12*3)</f>
        <v>12000</v>
      </c>
      <c r="E12" s="29" t="s">
        <v>201</v>
      </c>
    </row>
    <row r="13" customFormat="false" ht="15.75" hidden="false" customHeight="true" outlineLevel="0" collapsed="false">
      <c r="A13" s="27" t="s">
        <v>203</v>
      </c>
      <c r="B13" s="28" t="n">
        <v>10000</v>
      </c>
      <c r="C13" s="28" t="n">
        <v>7500</v>
      </c>
      <c r="D13" s="12" t="n">
        <f aca="false">B13+(C13*3)</f>
        <v>32500</v>
      </c>
      <c r="E13" s="29" t="s">
        <v>201</v>
      </c>
    </row>
    <row r="14" customFormat="false" ht="15.75" hidden="false" customHeight="true" outlineLevel="0" collapsed="false">
      <c r="A14" s="27" t="s">
        <v>204</v>
      </c>
      <c r="B14" s="28"/>
      <c r="C14" s="28" t="n">
        <v>3000</v>
      </c>
      <c r="D14" s="12" t="n">
        <f aca="false">B14+(C14*3)</f>
        <v>9000</v>
      </c>
      <c r="E14" s="29" t="s">
        <v>201</v>
      </c>
    </row>
    <row r="15" customFormat="false" ht="15.75" hidden="false" customHeight="true" outlineLevel="0" collapsed="false">
      <c r="A15" s="27" t="s">
        <v>205</v>
      </c>
      <c r="B15" s="28"/>
      <c r="C15" s="28" t="n">
        <v>15000</v>
      </c>
      <c r="D15" s="12" t="n">
        <f aca="false">B15+(C15*3)</f>
        <v>45000</v>
      </c>
      <c r="E15" s="29" t="s">
        <v>206</v>
      </c>
    </row>
    <row r="16" customFormat="false" ht="15.75" hidden="false" customHeight="true" outlineLevel="0" collapsed="false">
      <c r="A16" s="27" t="s">
        <v>207</v>
      </c>
      <c r="B16" s="28"/>
      <c r="C16" s="28" t="n">
        <v>2500</v>
      </c>
      <c r="D16" s="12" t="n">
        <f aca="false">B16+(C16*3)</f>
        <v>7500</v>
      </c>
      <c r="E16" s="29" t="s">
        <v>208</v>
      </c>
    </row>
    <row r="17" customFormat="false" ht="19.5" hidden="false" customHeight="true" outlineLevel="0" collapsed="false">
      <c r="A17" s="30" t="s">
        <v>209</v>
      </c>
      <c r="B17" s="22" t="n">
        <f aca="false">SUM(B5:B16)</f>
        <v>26500</v>
      </c>
      <c r="C17" s="22" t="n">
        <f aca="false">SUM(C5:C16)</f>
        <v>38300</v>
      </c>
      <c r="D17" s="22" t="n">
        <f aca="false">SUM(D5:D16)</f>
        <v>141400</v>
      </c>
      <c r="E17" s="31"/>
    </row>
    <row r="19" customFormat="false" ht="15" hidden="false" customHeight="true" outlineLevel="0" collapsed="false">
      <c r="A19" s="32" t="s">
        <v>210</v>
      </c>
      <c r="B19" s="32"/>
      <c r="C19" s="32"/>
      <c r="D19" s="32"/>
      <c r="E19" s="32"/>
    </row>
  </sheetData>
  <mergeCells count="3">
    <mergeCell ref="A1:E1"/>
    <mergeCell ref="A2:E2"/>
    <mergeCell ref="A19:E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2026-04-26T09:45:14Z</dcterms:created>
  <dc:creator>openpyxl</dc:creator>
  <dc:description/>
  <dc:language>en-US</dc:language>
  <cp:lastModifiedBy/>
  <dcterms:modified xsi:type="dcterms:W3CDTF">2026-04-26T09:46:49Z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